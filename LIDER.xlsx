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COTIZADOR_INTERFAZ" sheetId="2" r:id="rId6"/>
  </sheets>
  <definedNames>
    <definedName name="Lista_Precios">INVENTARIO!$D:$D</definedName>
    <definedName name="Lista_Articulos">INVENTARIO!$B:$B</definedName>
  </definedNames>
  <calcPr/>
</workbook>
</file>

<file path=xl/sharedStrings.xml><?xml version="1.0" encoding="utf-8"?>
<sst xmlns="http://schemas.openxmlformats.org/spreadsheetml/2006/main" count="190" uniqueCount="96">
  <si>
    <t>Categoría</t>
  </si>
  <si>
    <t>Artículo</t>
  </si>
  <si>
    <t>Precio Proveedor</t>
  </si>
  <si>
    <t>Precio Público</t>
  </si>
  <si>
    <t>Unidad de Medida</t>
  </si>
  <si>
    <t>SILLAS</t>
  </si>
  <si>
    <t>PLASTICAS</t>
  </si>
  <si>
    <t>Pieza</t>
  </si>
  <si>
    <t>ACOJINADAS</t>
  </si>
  <si>
    <t>PLASTICA INFANTIL</t>
  </si>
  <si>
    <t>TIFFANY BLANCA</t>
  </si>
  <si>
    <t>CROSBACK</t>
  </si>
  <si>
    <t>MESAS</t>
  </si>
  <si>
    <t>TABLON, IMPERIAL O REDONDA SIN MANTEL</t>
  </si>
  <si>
    <t>TABLON, IMPERIAL O REDONDACON MANTEL BLANCO</t>
  </si>
  <si>
    <t>TABLON, IMPERIAL O REDONDA CON MANTEL DE COLOR</t>
  </si>
  <si>
    <t>TABLON INFANTIL CON MANTEL</t>
  </si>
  <si>
    <t>VINTAGE</t>
  </si>
  <si>
    <t>VINTAGE CON CAMINO</t>
  </si>
  <si>
    <t>TABLON, IMPERIAL, REDONDA C/10 SILLAS PLEGABLES</t>
  </si>
  <si>
    <t>Paquete</t>
  </si>
  <si>
    <t>TABLON, IMPERIAL, REDONDA C/10 SILLAS PLEGABLES CON MANTEL BLANCO CUBREMANTEL Y 10 FUNDAS BLANCAS CON MOÑO</t>
  </si>
  <si>
    <t>TABLON, IMPERIAL, REDONDA C/10 SILLAS ACOJINADAS</t>
  </si>
  <si>
    <t>TABLON, IMPERIAL, REDONDA C/10 SILLAS TIFFANY CON MANTEL, CUBREMANTEL Y 10 BANDAS</t>
  </si>
  <si>
    <t>VINTAGE C/10 SILLAS TIFFANY</t>
  </si>
  <si>
    <t>INFANTIL C/10 SILLAS INFANTILES</t>
  </si>
  <si>
    <t>PERIQUERA</t>
  </si>
  <si>
    <t>SALAS</t>
  </si>
  <si>
    <t>SALA LOUNGE</t>
  </si>
  <si>
    <t>SILLON LUIS XV</t>
  </si>
  <si>
    <t>MANTELERIA</t>
  </si>
  <si>
    <t>MANTEL BLANCO</t>
  </si>
  <si>
    <t>MANTEL DE COLOR A ELEGIR</t>
  </si>
  <si>
    <t>CAMINO</t>
  </si>
  <si>
    <t>BAMBALINA</t>
  </si>
  <si>
    <t>BANDA PARA SILLA</t>
  </si>
  <si>
    <t>FUNDA BLANCA PARA SILLA</t>
  </si>
  <si>
    <t>SERVILLETA</t>
  </si>
  <si>
    <t>LOSA</t>
  </si>
  <si>
    <t>VASO HIGH-BALL</t>
  </si>
  <si>
    <t>COPA VINO TINTO, FLAUTA</t>
  </si>
  <si>
    <t>COPA COLORS</t>
  </si>
  <si>
    <t>PLATO HONDO BLANCO</t>
  </si>
  <si>
    <t>PLATO PASTA BLANCO</t>
  </si>
  <si>
    <t>PLATO TRINCHE BLANCO</t>
  </si>
  <si>
    <t>PLATO HONDO BARRO</t>
  </si>
  <si>
    <t>PLATO PASTA BARRO</t>
  </si>
  <si>
    <t>PLATO TRINCHE BARRO</t>
  </si>
  <si>
    <t>Nombre</t>
  </si>
  <si>
    <t>SALSERAS DE BARRO</t>
  </si>
  <si>
    <t>Fecha evento</t>
  </si>
  <si>
    <t>HIELERA INOX</t>
  </si>
  <si>
    <t>PLATON BASE DORADO</t>
  </si>
  <si>
    <t>PLAQUE ESTANDAR PLATA</t>
  </si>
  <si>
    <t>PLAQUE DELUX DORADO</t>
  </si>
  <si>
    <t>Opciones de Carpa</t>
  </si>
  <si>
    <t>PISTAS</t>
  </si>
  <si>
    <t>PISTA DE MADERA EN COLOR BLANCO O NEGRO</t>
  </si>
  <si>
    <t>M2</t>
  </si>
  <si>
    <t>PISTA DE BAILE ILUMINADA</t>
  </si>
  <si>
    <t>PISTA DE BAILE MIXTA (ILUMINADA Y DE MADERA)</t>
  </si>
  <si>
    <t>Por Cotizar</t>
  </si>
  <si>
    <t>TEMPLETE A 50CM DE ALTURA</t>
  </si>
  <si>
    <t>TEMPLETE A 1M DE ALTURA</t>
  </si>
  <si>
    <t>DECO</t>
  </si>
  <si>
    <t>DECORACIÓN CON TELAS</t>
  </si>
  <si>
    <t>CORTINAS PERIMETRALES</t>
  </si>
  <si>
    <t>PLAFON PLISADO</t>
  </si>
  <si>
    <t>PASTO SINTETICO</t>
  </si>
  <si>
    <t>CARPAS</t>
  </si>
  <si>
    <t>CARPA ELEGANTE A 3M DE ALTURA</t>
  </si>
  <si>
    <t>CARPA ELEGANTE A 3M DE ALTURA, DECORADA</t>
  </si>
  <si>
    <t>CARPA ELEGANTE A 3M DE ALTURA, PLISADO</t>
  </si>
  <si>
    <t>Invitados</t>
  </si>
  <si>
    <t>Fecha montaje</t>
  </si>
  <si>
    <t>Ancho 8m</t>
  </si>
  <si>
    <t>M2 minimos</t>
  </si>
  <si>
    <t>Fecha desmontaje</t>
  </si>
  <si>
    <t>Ancho 10m</t>
  </si>
  <si>
    <t>Seleccionar ancho</t>
  </si>
  <si>
    <t>Ancho 12m</t>
  </si>
  <si>
    <t>Area de carpa</t>
  </si>
  <si>
    <t>Dirección</t>
  </si>
  <si>
    <t>Ancho 15m</t>
  </si>
  <si>
    <t>Medida de carpa</t>
  </si>
  <si>
    <t>Teléfono</t>
  </si>
  <si>
    <t>Mesas base</t>
  </si>
  <si>
    <t>M2 de pista</t>
  </si>
  <si>
    <t>Dimensiones pista</t>
  </si>
  <si>
    <t>COTIZADOR</t>
  </si>
  <si>
    <t>ARTICULO</t>
  </si>
  <si>
    <t>DESCRIPCION</t>
  </si>
  <si>
    <t>CANTIDAD</t>
  </si>
  <si>
    <t>PRECIO UNITARIO</t>
  </si>
  <si>
    <t>SUBTOTAL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</si>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</sst>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10</xdr:row>
      <xdr:rowOff>171450</xdr:rowOff>
    </xdr:from>
    <xdr:ext cx="847725" cy="419100"/>
    <xdr:sp>
      <xdr:nvSpPr>
        <xdr:cNvPr id="3" name="Shape 3"/>
        <xdr:cNvSpPr/>
      </xdr:nvSpPr>
      <xdr:spPr>
        <a:xfrm>
          <a:off x="2421725" y="670475"/>
          <a:ext cx="1350900" cy="670500"/>
        </a:xfrm>
        <a:prstGeom prst="rect">
          <a:avLst/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highlight>
                <a:srgbClr val="C9DAF8"/>
              </a:highlight>
              <a:latin typeface="Montserrat"/>
              <a:ea typeface="Montserrat"/>
              <a:cs typeface="Montserrat"/>
              <a:sym typeface="Montserrat"/>
            </a:rPr>
            <a:t>Reiniciar</a:t>
          </a:r>
          <a:endParaRPr b="1" sz="1800">
            <a:highlight>
              <a:srgbClr val="C9DAF8"/>
            </a:highlight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5</xdr:col>
      <xdr:colOff>123825</xdr:colOff>
      <xdr:row>0</xdr:row>
      <xdr:rowOff>123825</xdr:rowOff>
    </xdr:from>
    <xdr:ext cx="1524000" cy="342900"/>
    <xdr:sp>
      <xdr:nvSpPr>
        <xdr:cNvPr id="4" name="Shape 4"/>
        <xdr:cNvSpPr/>
      </xdr:nvSpPr>
      <xdr:spPr>
        <a:xfrm>
          <a:off x="1634300" y="852675"/>
          <a:ext cx="2121600" cy="456900"/>
        </a:xfrm>
        <a:prstGeom prst="cube">
          <a:avLst>
            <a:gd fmla="val 250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Agendar en calendario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6.0</v>
      </c>
      <c r="D2" s="1">
        <v>8.0</v>
      </c>
      <c r="E2" s="1" t="s">
        <v>7</v>
      </c>
    </row>
    <row r="3">
      <c r="A3" s="1" t="s">
        <v>5</v>
      </c>
      <c r="B3" s="1" t="s">
        <v>8</v>
      </c>
      <c r="C3" s="1">
        <v>8.0</v>
      </c>
      <c r="D3" s="1">
        <v>10.0</v>
      </c>
      <c r="E3" s="1" t="s">
        <v>7</v>
      </c>
    </row>
    <row r="4">
      <c r="A4" s="1" t="s">
        <v>5</v>
      </c>
      <c r="B4" s="1" t="s">
        <v>9</v>
      </c>
      <c r="C4" s="1">
        <v>6.0</v>
      </c>
      <c r="D4" s="1">
        <v>8.0</v>
      </c>
      <c r="E4" s="1" t="s">
        <v>7</v>
      </c>
    </row>
    <row r="5">
      <c r="A5" s="1" t="s">
        <v>5</v>
      </c>
      <c r="B5" s="1" t="s">
        <v>10</v>
      </c>
      <c r="C5" s="1">
        <v>25.0</v>
      </c>
      <c r="D5" s="1">
        <v>30.0</v>
      </c>
      <c r="E5" s="1" t="s">
        <v>7</v>
      </c>
    </row>
    <row r="6">
      <c r="A6" s="1" t="s">
        <v>5</v>
      </c>
      <c r="B6" s="1" t="s">
        <v>11</v>
      </c>
      <c r="C6" s="1">
        <v>50.0</v>
      </c>
      <c r="D6" s="1">
        <v>65.0</v>
      </c>
      <c r="E6" s="1" t="s">
        <v>7</v>
      </c>
    </row>
    <row r="7">
      <c r="A7" s="1" t="s">
        <v>12</v>
      </c>
      <c r="B7" s="1" t="s">
        <v>13</v>
      </c>
      <c r="C7" s="1">
        <v>40.0</v>
      </c>
      <c r="D7" s="1">
        <v>50.0</v>
      </c>
      <c r="E7" s="1" t="s">
        <v>7</v>
      </c>
    </row>
    <row r="8">
      <c r="A8" s="1" t="s">
        <v>12</v>
      </c>
      <c r="B8" s="1" t="s">
        <v>14</v>
      </c>
      <c r="C8" s="1">
        <v>50.0</v>
      </c>
      <c r="D8" s="1">
        <v>60.0</v>
      </c>
      <c r="E8" s="1" t="s">
        <v>7</v>
      </c>
    </row>
    <row r="9">
      <c r="A9" s="1" t="s">
        <v>12</v>
      </c>
      <c r="B9" s="1" t="s">
        <v>15</v>
      </c>
      <c r="C9" s="1">
        <v>60.0</v>
      </c>
      <c r="D9" s="1">
        <v>80.0</v>
      </c>
      <c r="E9" s="1" t="s">
        <v>7</v>
      </c>
    </row>
    <row r="10">
      <c r="A10" s="1" t="s">
        <v>12</v>
      </c>
      <c r="B10" s="1" t="s">
        <v>16</v>
      </c>
      <c r="C10" s="1">
        <v>60.0</v>
      </c>
      <c r="D10" s="1">
        <v>100.0</v>
      </c>
      <c r="E10" s="1" t="s">
        <v>7</v>
      </c>
    </row>
    <row r="11">
      <c r="A11" s="1" t="s">
        <v>12</v>
      </c>
      <c r="B11" s="1" t="s">
        <v>17</v>
      </c>
      <c r="C11" s="1">
        <v>300.0</v>
      </c>
      <c r="D11" s="1">
        <v>400.0</v>
      </c>
      <c r="E11" s="1" t="s">
        <v>7</v>
      </c>
    </row>
    <row r="12">
      <c r="A12" s="1" t="s">
        <v>12</v>
      </c>
      <c r="B12" s="1" t="s">
        <v>18</v>
      </c>
      <c r="C12" s="1">
        <v>350.0</v>
      </c>
      <c r="D12" s="1">
        <v>450.0</v>
      </c>
      <c r="E12" s="1" t="s">
        <v>7</v>
      </c>
    </row>
    <row r="13">
      <c r="A13" s="1" t="s">
        <v>12</v>
      </c>
      <c r="B13" s="1" t="s">
        <v>19</v>
      </c>
      <c r="C13" s="1">
        <v>120.0</v>
      </c>
      <c r="D13" s="1">
        <v>140.0</v>
      </c>
      <c r="E13" s="1" t="s">
        <v>20</v>
      </c>
    </row>
    <row r="14">
      <c r="A14" s="1" t="s">
        <v>12</v>
      </c>
      <c r="B14" s="1" t="s">
        <v>21</v>
      </c>
      <c r="C14" s="1">
        <v>220.0</v>
      </c>
      <c r="D14" s="1">
        <v>250.0</v>
      </c>
      <c r="E14" s="1" t="s">
        <v>20</v>
      </c>
    </row>
    <row r="15">
      <c r="A15" s="1" t="s">
        <v>12</v>
      </c>
      <c r="B15" s="1" t="s">
        <v>22</v>
      </c>
      <c r="C15" s="1">
        <v>130.0</v>
      </c>
      <c r="D15" s="1">
        <v>150.0</v>
      </c>
      <c r="E15" s="1" t="s">
        <v>20</v>
      </c>
    </row>
    <row r="16">
      <c r="A16" s="1" t="s">
        <v>12</v>
      </c>
      <c r="B16" s="1" t="s">
        <v>23</v>
      </c>
      <c r="C16" s="1">
        <v>350.0</v>
      </c>
      <c r="D16" s="1">
        <v>380.0</v>
      </c>
      <c r="E16" s="1" t="s">
        <v>20</v>
      </c>
    </row>
    <row r="17">
      <c r="A17" s="1" t="s">
        <v>12</v>
      </c>
      <c r="B17" s="1" t="s">
        <v>24</v>
      </c>
      <c r="C17" s="1">
        <v>600.0</v>
      </c>
      <c r="D17" s="1">
        <v>700.0</v>
      </c>
      <c r="E17" s="1" t="s">
        <v>20</v>
      </c>
    </row>
    <row r="18">
      <c r="A18" s="1" t="s">
        <v>12</v>
      </c>
      <c r="B18" s="1" t="s">
        <v>25</v>
      </c>
      <c r="C18" s="1">
        <v>120.0</v>
      </c>
      <c r="D18" s="1">
        <v>130.0</v>
      </c>
      <c r="E18" s="1" t="s">
        <v>20</v>
      </c>
    </row>
    <row r="19">
      <c r="A19" s="1" t="s">
        <v>12</v>
      </c>
      <c r="B19" s="1" t="s">
        <v>26</v>
      </c>
      <c r="C19" s="1">
        <v>200.0</v>
      </c>
      <c r="D19" s="1">
        <v>300.0</v>
      </c>
      <c r="E19" s="1" t="s">
        <v>7</v>
      </c>
    </row>
    <row r="20">
      <c r="A20" s="1" t="s">
        <v>27</v>
      </c>
      <c r="B20" s="1" t="s">
        <v>28</v>
      </c>
      <c r="C20" s="1">
        <v>550.0</v>
      </c>
      <c r="D20" s="1">
        <v>700.0</v>
      </c>
      <c r="E20" s="1" t="s">
        <v>7</v>
      </c>
    </row>
    <row r="21">
      <c r="A21" s="1" t="s">
        <v>27</v>
      </c>
      <c r="B21" s="1" t="s">
        <v>29</v>
      </c>
      <c r="C21" s="1">
        <v>800.0</v>
      </c>
      <c r="D21" s="1">
        <v>1000.0</v>
      </c>
      <c r="E21" s="1" t="s">
        <v>7</v>
      </c>
    </row>
    <row r="22">
      <c r="A22" s="1" t="s">
        <v>30</v>
      </c>
      <c r="B22" s="1" t="s">
        <v>31</v>
      </c>
      <c r="C22" s="1">
        <v>35.0</v>
      </c>
      <c r="D22" s="1">
        <v>40.0</v>
      </c>
      <c r="E22" s="1" t="s">
        <v>7</v>
      </c>
    </row>
    <row r="23">
      <c r="A23" s="1" t="s">
        <v>30</v>
      </c>
      <c r="B23" s="1" t="s">
        <v>32</v>
      </c>
      <c r="C23" s="1">
        <v>45.0</v>
      </c>
      <c r="D23" s="1">
        <v>60.0</v>
      </c>
      <c r="E23" s="1" t="s">
        <v>7</v>
      </c>
    </row>
    <row r="24">
      <c r="A24" s="1" t="s">
        <v>30</v>
      </c>
      <c r="B24" s="1" t="s">
        <v>33</v>
      </c>
      <c r="C24" s="1">
        <v>25.0</v>
      </c>
      <c r="D24" s="1">
        <v>35.0</v>
      </c>
      <c r="E24" s="1" t="s">
        <v>7</v>
      </c>
    </row>
    <row r="25">
      <c r="A25" s="1" t="s">
        <v>30</v>
      </c>
      <c r="B25" s="1" t="s">
        <v>34</v>
      </c>
      <c r="C25" s="1">
        <v>70.0</v>
      </c>
      <c r="D25" s="1">
        <v>90.0</v>
      </c>
      <c r="E25" s="1" t="s">
        <v>7</v>
      </c>
    </row>
    <row r="26">
      <c r="A26" s="1" t="s">
        <v>30</v>
      </c>
      <c r="B26" s="1" t="s">
        <v>35</v>
      </c>
      <c r="C26" s="1">
        <v>3.0</v>
      </c>
      <c r="D26" s="1">
        <v>4.0</v>
      </c>
      <c r="E26" s="1" t="s">
        <v>7</v>
      </c>
    </row>
    <row r="27">
      <c r="A27" s="1" t="s">
        <v>30</v>
      </c>
      <c r="B27" s="1" t="s">
        <v>36</v>
      </c>
      <c r="C27" s="1">
        <v>6.0</v>
      </c>
      <c r="D27" s="1">
        <v>8.0</v>
      </c>
      <c r="E27" s="1" t="s">
        <v>7</v>
      </c>
    </row>
    <row r="28">
      <c r="A28" s="1" t="s">
        <v>30</v>
      </c>
      <c r="B28" s="1" t="s">
        <v>37</v>
      </c>
      <c r="C28" s="1">
        <v>3.0</v>
      </c>
      <c r="D28" s="1">
        <v>3.5</v>
      </c>
      <c r="E28" s="1" t="s">
        <v>7</v>
      </c>
    </row>
    <row r="29">
      <c r="A29" s="1" t="s">
        <v>38</v>
      </c>
      <c r="B29" s="1" t="s">
        <v>39</v>
      </c>
      <c r="C29" s="1">
        <v>4.0</v>
      </c>
      <c r="D29" s="1">
        <v>5.0</v>
      </c>
      <c r="E29" s="1" t="s">
        <v>7</v>
      </c>
    </row>
    <row r="30">
      <c r="A30" s="1" t="s">
        <v>38</v>
      </c>
      <c r="B30" s="1" t="s">
        <v>40</v>
      </c>
      <c r="C30" s="1">
        <v>7.0</v>
      </c>
      <c r="D30" s="1">
        <v>9.0</v>
      </c>
      <c r="E30" s="1" t="s">
        <v>7</v>
      </c>
    </row>
    <row r="31">
      <c r="A31" s="1" t="s">
        <v>38</v>
      </c>
      <c r="B31" s="1" t="s">
        <v>41</v>
      </c>
      <c r="C31" s="1">
        <v>10.0</v>
      </c>
      <c r="D31" s="1">
        <v>15.0</v>
      </c>
      <c r="E31" s="1" t="s">
        <v>7</v>
      </c>
    </row>
    <row r="32">
      <c r="A32" s="1" t="s">
        <v>38</v>
      </c>
      <c r="B32" s="1" t="s">
        <v>42</v>
      </c>
      <c r="C32" s="1">
        <v>5.0</v>
      </c>
      <c r="D32" s="1">
        <v>6.0</v>
      </c>
      <c r="E32" s="1" t="s">
        <v>7</v>
      </c>
    </row>
    <row r="33">
      <c r="A33" s="1" t="s">
        <v>38</v>
      </c>
      <c r="B33" s="1" t="s">
        <v>43</v>
      </c>
      <c r="C33" s="1">
        <v>5.0</v>
      </c>
      <c r="D33" s="1">
        <v>6.0</v>
      </c>
      <c r="E33" s="1" t="s">
        <v>7</v>
      </c>
    </row>
    <row r="34">
      <c r="A34" s="1" t="s">
        <v>38</v>
      </c>
      <c r="B34" s="1" t="s">
        <v>44</v>
      </c>
      <c r="C34" s="1">
        <v>5.0</v>
      </c>
      <c r="D34" s="1">
        <v>6.0</v>
      </c>
      <c r="E34" s="1" t="s">
        <v>7</v>
      </c>
    </row>
    <row r="35">
      <c r="A35" s="1" t="s">
        <v>38</v>
      </c>
      <c r="B35" s="1" t="s">
        <v>45</v>
      </c>
      <c r="C35" s="1">
        <v>5.0</v>
      </c>
      <c r="D35" s="1">
        <v>6.0</v>
      </c>
      <c r="E35" s="1" t="s">
        <v>7</v>
      </c>
    </row>
    <row r="36">
      <c r="A36" s="1" t="s">
        <v>38</v>
      </c>
      <c r="B36" s="1" t="s">
        <v>46</v>
      </c>
      <c r="C36" s="1">
        <v>5.0</v>
      </c>
      <c r="D36" s="1">
        <v>6.0</v>
      </c>
      <c r="E36" s="1" t="s">
        <v>7</v>
      </c>
    </row>
    <row r="37">
      <c r="A37" s="1" t="s">
        <v>38</v>
      </c>
      <c r="B37" s="1" t="s">
        <v>47</v>
      </c>
      <c r="C37" s="1">
        <v>5.0</v>
      </c>
      <c r="D37" s="1">
        <v>6.0</v>
      </c>
      <c r="E37" s="1" t="s">
        <v>7</v>
      </c>
    </row>
    <row r="38">
      <c r="A38" s="1" t="s">
        <v>38</v>
      </c>
      <c r="B38" s="1" t="s">
        <v>49</v>
      </c>
      <c r="C38" s="1">
        <v>12.0</v>
      </c>
      <c r="D38" s="1">
        <v>15.0</v>
      </c>
      <c r="E38" s="1" t="s">
        <v>7</v>
      </c>
    </row>
    <row r="39">
      <c r="A39" s="1" t="s">
        <v>38</v>
      </c>
      <c r="B39" s="1" t="s">
        <v>51</v>
      </c>
      <c r="C39" s="1">
        <v>0.0</v>
      </c>
      <c r="D39" s="1">
        <v>0.0</v>
      </c>
      <c r="E39" s="1" t="s">
        <v>7</v>
      </c>
    </row>
    <row r="40">
      <c r="A40" s="1" t="s">
        <v>38</v>
      </c>
      <c r="B40" s="1" t="s">
        <v>52</v>
      </c>
      <c r="C40" s="1">
        <v>20.0</v>
      </c>
      <c r="D40" s="1">
        <v>25.0</v>
      </c>
      <c r="E40" s="1" t="s">
        <v>7</v>
      </c>
    </row>
    <row r="41">
      <c r="A41" s="1" t="s">
        <v>38</v>
      </c>
      <c r="B41" s="1" t="s">
        <v>53</v>
      </c>
      <c r="C41" s="1">
        <v>3.0</v>
      </c>
      <c r="D41" s="1">
        <v>3.5</v>
      </c>
      <c r="E41" s="1" t="s">
        <v>20</v>
      </c>
    </row>
    <row r="42">
      <c r="A42" s="1" t="s">
        <v>38</v>
      </c>
      <c r="B42" s="1" t="s">
        <v>54</v>
      </c>
      <c r="C42" s="1">
        <v>5.0</v>
      </c>
      <c r="D42" s="1">
        <v>6.0</v>
      </c>
      <c r="E42" s="1" t="s">
        <v>20</v>
      </c>
    </row>
    <row r="43">
      <c r="A43" s="1" t="s">
        <v>56</v>
      </c>
      <c r="B43" s="1" t="s">
        <v>57</v>
      </c>
      <c r="C43" s="1">
        <v>0.0</v>
      </c>
      <c r="D43" s="1">
        <v>90.0</v>
      </c>
      <c r="E43" s="1" t="s">
        <v>58</v>
      </c>
    </row>
    <row r="44">
      <c r="A44" s="1" t="s">
        <v>56</v>
      </c>
      <c r="B44" s="1" t="s">
        <v>59</v>
      </c>
      <c r="C44" s="1">
        <v>0.0</v>
      </c>
      <c r="D44" s="1">
        <v>290.0</v>
      </c>
      <c r="E44" s="1" t="s">
        <v>58</v>
      </c>
    </row>
    <row r="45">
      <c r="A45" s="1" t="s">
        <v>56</v>
      </c>
      <c r="B45" s="1" t="s">
        <v>60</v>
      </c>
      <c r="C45" s="1">
        <v>0.0</v>
      </c>
      <c r="D45" s="1">
        <v>0.0</v>
      </c>
      <c r="E45" s="1" t="s">
        <v>61</v>
      </c>
    </row>
    <row r="46">
      <c r="A46" s="1" t="s">
        <v>56</v>
      </c>
      <c r="B46" s="1" t="s">
        <v>62</v>
      </c>
      <c r="C46" s="1">
        <v>0.0</v>
      </c>
      <c r="D46" s="1">
        <v>120.0</v>
      </c>
      <c r="E46" s="1" t="s">
        <v>58</v>
      </c>
    </row>
    <row r="47">
      <c r="A47" s="1" t="s">
        <v>56</v>
      </c>
      <c r="B47" s="1" t="s">
        <v>63</v>
      </c>
      <c r="C47" s="1">
        <v>0.0</v>
      </c>
      <c r="D47" s="1">
        <v>120.0</v>
      </c>
      <c r="E47" s="1" t="s">
        <v>58</v>
      </c>
    </row>
    <row r="48">
      <c r="A48" s="1" t="s">
        <v>64</v>
      </c>
      <c r="B48" s="1" t="s">
        <v>65</v>
      </c>
      <c r="C48" s="1">
        <v>0.0</v>
      </c>
      <c r="D48" s="1">
        <v>20.0</v>
      </c>
      <c r="E48" s="1" t="s">
        <v>61</v>
      </c>
    </row>
    <row r="49">
      <c r="A49" s="1" t="s">
        <v>64</v>
      </c>
      <c r="B49" s="1" t="s">
        <v>66</v>
      </c>
      <c r="C49" s="1">
        <v>0.0</v>
      </c>
      <c r="D49" s="1">
        <v>0.0</v>
      </c>
      <c r="E49" s="1" t="s">
        <v>61</v>
      </c>
    </row>
    <row r="50">
      <c r="A50" s="1" t="s">
        <v>64</v>
      </c>
      <c r="B50" s="1" t="s">
        <v>67</v>
      </c>
      <c r="C50" s="1">
        <v>0.0</v>
      </c>
      <c r="D50" s="1">
        <v>10.0</v>
      </c>
      <c r="E50" s="1" t="s">
        <v>58</v>
      </c>
    </row>
    <row r="51">
      <c r="A51" s="1" t="s">
        <v>64</v>
      </c>
      <c r="B51" s="1" t="s">
        <v>68</v>
      </c>
      <c r="C51" s="1">
        <v>0.0</v>
      </c>
      <c r="D51" s="1">
        <v>0.0</v>
      </c>
      <c r="E51" s="1" t="s">
        <v>61</v>
      </c>
    </row>
    <row r="52">
      <c r="A52" s="1" t="s">
        <v>69</v>
      </c>
      <c r="B52" s="1" t="s">
        <v>70</v>
      </c>
      <c r="C52" s="1">
        <v>0.0</v>
      </c>
      <c r="D52" s="1">
        <v>32.0</v>
      </c>
      <c r="E52" s="1" t="s">
        <v>58</v>
      </c>
    </row>
    <row r="53">
      <c r="A53" s="1" t="s">
        <v>69</v>
      </c>
      <c r="B53" s="1" t="s">
        <v>71</v>
      </c>
      <c r="C53" s="1">
        <v>0.0</v>
      </c>
      <c r="D53" s="1">
        <v>47.0</v>
      </c>
      <c r="E53" s="1" t="s">
        <v>58</v>
      </c>
    </row>
    <row r="54">
      <c r="A54" s="1" t="s">
        <v>69</v>
      </c>
      <c r="B54" s="1" t="s">
        <v>72</v>
      </c>
      <c r="C54" s="1">
        <v>0.0</v>
      </c>
      <c r="D54" s="1">
        <v>47.0</v>
      </c>
      <c r="E54" s="1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0"/>
    <col customWidth="1" min="3" max="3" width="25.38"/>
    <col customWidth="1" min="8" max="8" width="15.38"/>
    <col customWidth="1" min="9" max="9" width="23.13"/>
  </cols>
  <sheetData>
    <row r="1">
      <c r="A1" s="1" t="s">
        <v>48</v>
      </c>
      <c r="D1" s="1" t="s">
        <v>50</v>
      </c>
      <c r="E1" s="2"/>
      <c r="H1" s="1" t="s">
        <v>55</v>
      </c>
      <c r="I1" s="3" t="str">
        <f>"Mínimo: " &amp; IF(B3="", 0, B3) &amp; " m2"</f>
        <v>Mínimo: 0 m2</v>
      </c>
    </row>
    <row r="2">
      <c r="A2" s="1" t="s">
        <v>73</v>
      </c>
      <c r="B2" s="1"/>
      <c r="D2" s="1" t="s">
        <v>74</v>
      </c>
      <c r="E2" s="2"/>
      <c r="H2" s="1" t="s">
        <v>75</v>
      </c>
      <c r="I2" s="3" t="str">
        <f>IF($B$2="","", "Largo: " &amp; (ROUNDUP($B$3 / 40, 0) * 5) &amp; "m (8x" &amp; (ROUNDUP($B$3 / 40, 0) * 5) &amp; ") = " &amp; (8 * ROUNDUP($B$3 / 40, 0) * 5) &amp; " m2")</f>
        <v/>
      </c>
    </row>
    <row r="3">
      <c r="A3" s="1" t="s">
        <v>76</v>
      </c>
      <c r="D3" s="1" t="s">
        <v>77</v>
      </c>
      <c r="E3" s="2"/>
      <c r="H3" s="1" t="s">
        <v>78</v>
      </c>
      <c r="I3" s="3" t="str">
        <f>IF($B$2="","", "Largo: " &amp; (ROUNDUP($B$3 / 50, 0) * 5) &amp; "m (10x" &amp; (ROUNDUP($B$3 / 50, 0) * 5) &amp; ") = " &amp; (10 * ROUNDUP($B$3 / 50, 0) * 5) &amp; " m2")</f>
        <v/>
      </c>
    </row>
    <row r="4">
      <c r="A4" s="1" t="s">
        <v>79</v>
      </c>
      <c r="B4" s="1"/>
      <c r="H4" s="1" t="s">
        <v>80</v>
      </c>
      <c r="I4" s="3" t="str">
        <f>IF($B$2="","", "Largo: " &amp; (ROUNDUP($B$3 / 60, 0) * 5) &amp; "m (12x" &amp; (ROUNDUP($B$3 / 60, 0) * 5) &amp; ") = " &amp; (12 * ROUNDUP($B$3 / 60, 0) * 5) &amp; " m2")</f>
        <v/>
      </c>
    </row>
    <row r="5">
      <c r="A5" s="1" t="s">
        <v>81</v>
      </c>
      <c r="B5" s="1" t="str">
        <f>IF(OR(B2="", B4=""), "", VALUE(B4) * (ROUNDUP(B3 / (VALUE(B4) * 5), 0) * 5))</f>
        <v/>
      </c>
      <c r="D5" s="1" t="s">
        <v>82</v>
      </c>
      <c r="E5" s="1"/>
      <c r="H5" s="1" t="s">
        <v>83</v>
      </c>
      <c r="I5" s="3" t="str">
        <f>IF($B$2="","", "Largo: " &amp; (ROUNDUP($B$3 / 75, 0) * 5) &amp; "m (15x" &amp; (ROUNDUP($B$3 / 75, 0) * 5) &amp; ") = " &amp; (15 * ROUNDUP($B$3 / 75, 0) * 5) &amp; " m2")</f>
        <v/>
      </c>
    </row>
    <row r="6">
      <c r="A6" s="1" t="s">
        <v>84</v>
      </c>
      <c r="B6" s="4" t="str">
        <f>IF(OR(B2="", B4=""), "", VALUE(B4) &amp; "x" &amp; (ROUNDUP(B3 / (VALUE(B4) * 5), 0) * 5) &amp; "m")</f>
        <v/>
      </c>
      <c r="D6" s="1" t="s">
        <v>85</v>
      </c>
      <c r="E6" s="1"/>
      <c r="H6" s="1"/>
    </row>
    <row r="7">
      <c r="A7" s="1" t="s">
        <v>86</v>
      </c>
      <c r="B7" s="3" t="str">
        <f>IF(B2="", "", ROUNDUP(B2/10, 0))</f>
        <v/>
      </c>
    </row>
    <row r="8">
      <c r="A8" s="1" t="s">
        <v>87</v>
      </c>
      <c r="B8" s="3" t="str">
        <f>IFERROR((ROUND(SQRT(B2*0.12), 0) * ROUND((B2*0.12) / ROUND(SQRT(B2*0.12), 0), 0)) * 1.5625, "")</f>
        <v/>
      </c>
    </row>
    <row r="9">
      <c r="A9" s="1" t="s">
        <v>88</v>
      </c>
      <c r="B9" s="4" t="str">
        <f>IFERROR((ROUND(SQRT(B2*0.12), 0) * 1.25) &amp; "m x " &amp; (ROUND((B2*0.12) / ROUND(SQRT(B2*0.12), 0), 0) * 1.25) &amp; "m", "")</f>
        <v/>
      </c>
    </row>
    <row r="10">
      <c r="A10" s="1"/>
      <c r="B10" s="1"/>
    </row>
    <row r="11">
      <c r="A11" s="1" t="s">
        <v>89</v>
      </c>
      <c r="B11" s="1" t="s">
        <v>90</v>
      </c>
      <c r="C11" s="1" t="s">
        <v>91</v>
      </c>
      <c r="D11" s="1" t="s">
        <v>92</v>
      </c>
      <c r="E11" s="1" t="s">
        <v>93</v>
      </c>
      <c r="F11" s="1" t="s">
        <v>94</v>
      </c>
    </row>
    <row r="12">
      <c r="B12" s="1"/>
      <c r="C12" s="3" t="str">
        <f t="shared" ref="C12:C36" si="1">IF(ISNUMBER(SEARCH("PISTA", B12)), "Medida sugerida: " &amp; $B$9, IF(ISNUMBER(SEARCH("CARPA", B12)), "Configuración: " &amp; $B$6, ""))</f>
        <v/>
      </c>
      <c r="D12" s="3" t="str">
        <f t="shared" ref="D12:D40" si="2">IF(B12="", "", IF(ISNUMBER(SEARCH("CARPA", B12)), $B$5, IF(ISNUMBER(SEARCH("C/10 SILLAS", B12)), $B$7, IF(ISNUMBER(SEARCH("PISTA", B12)), $B$8, 1))))</f>
        <v/>
      </c>
      <c r="E12" s="1">
        <v>47.0</v>
      </c>
      <c r="F12" s="3">
        <f t="shared" ref="F12:F36" si="3">D12*E12</f>
        <v>0</v>
      </c>
    </row>
    <row r="13">
      <c r="B13" s="1"/>
      <c r="C13" s="3" t="str">
        <f t="shared" si="1"/>
        <v/>
      </c>
      <c r="D13" s="1" t="str">
        <f t="shared" si="2"/>
        <v/>
      </c>
      <c r="E13" s="3">
        <f t="array" ref="E13">IFERROR(_xlfn.XLOOKUP(B13, Lista_Articulos, Lista_Precios), 0)</f>
        <v>0</v>
      </c>
      <c r="F13" s="3">
        <f t="shared" si="3"/>
        <v>0</v>
      </c>
      <c r="I13" s="1">
        <v>1.0</v>
      </c>
    </row>
    <row r="14">
      <c r="B14" s="1"/>
      <c r="C14" s="3" t="str">
        <f t="shared" si="1"/>
        <v/>
      </c>
      <c r="D14" s="1" t="str">
        <f t="shared" si="2"/>
        <v/>
      </c>
      <c r="E14" s="3">
        <f t="array" ref="E14">IFERROR(_xlfn.XLOOKUP(B14, Lista_Articulos, Lista_Precios), 0)</f>
        <v>0</v>
      </c>
      <c r="F14" s="3">
        <f t="shared" si="3"/>
        <v>0</v>
      </c>
    </row>
    <row r="15">
      <c r="B15" s="1"/>
      <c r="C15" s="3" t="str">
        <f t="shared" si="1"/>
        <v/>
      </c>
      <c r="D15" s="1" t="str">
        <f t="shared" si="2"/>
        <v/>
      </c>
      <c r="E15" s="1">
        <v>250.0</v>
      </c>
      <c r="F15" s="3">
        <f t="shared" si="3"/>
        <v>0</v>
      </c>
    </row>
    <row r="16">
      <c r="B16" s="1"/>
      <c r="C16" s="3" t="str">
        <f t="shared" si="1"/>
        <v/>
      </c>
      <c r="D16" s="1" t="str">
        <f t="shared" si="2"/>
        <v/>
      </c>
      <c r="E16" s="3">
        <f t="array" ref="E16">IFERROR(_xlfn.XLOOKUP(B16, Lista_Articulos, Lista_Precios), 0)</f>
        <v>0</v>
      </c>
      <c r="F16" s="3">
        <f t="shared" si="3"/>
        <v>0</v>
      </c>
    </row>
    <row r="17">
      <c r="B17" s="3"/>
      <c r="C17" s="3" t="str">
        <f t="shared" si="1"/>
        <v/>
      </c>
      <c r="D17" s="1" t="str">
        <f t="shared" si="2"/>
        <v/>
      </c>
      <c r="E17" s="3">
        <f t="array" ref="E17">IFERROR(_xlfn.XLOOKUP(B17, Lista_Articulos, Lista_Precios), 0)</f>
        <v>0</v>
      </c>
      <c r="F17" s="3">
        <f t="shared" si="3"/>
        <v>0</v>
      </c>
    </row>
    <row r="18">
      <c r="B18" s="3"/>
      <c r="C18" s="3" t="str">
        <f t="shared" si="1"/>
        <v/>
      </c>
      <c r="D18" s="1" t="str">
        <f t="shared" si="2"/>
        <v/>
      </c>
      <c r="E18" s="3">
        <f t="array" ref="E18">IFERROR(_xlfn.XLOOKUP(B18, Lista_Articulos, Lista_Precios), 0)</f>
        <v>0</v>
      </c>
      <c r="F18" s="3">
        <f t="shared" si="3"/>
        <v>0</v>
      </c>
    </row>
    <row r="19">
      <c r="B19" s="1"/>
      <c r="C19" s="3" t="str">
        <f t="shared" si="1"/>
        <v/>
      </c>
      <c r="D19" s="1" t="str">
        <f t="shared" si="2"/>
        <v/>
      </c>
      <c r="E19" s="3">
        <f t="array" ref="E19">IFERROR(_xlfn.XLOOKUP(B19, Lista_Articulos, Lista_Precios), 0)</f>
        <v>0</v>
      </c>
      <c r="F19" s="3">
        <f t="shared" si="3"/>
        <v>0</v>
      </c>
    </row>
    <row r="20">
      <c r="B20" s="3"/>
      <c r="C20" s="3" t="str">
        <f t="shared" si="1"/>
        <v/>
      </c>
      <c r="D20" s="3" t="str">
        <f t="shared" si="2"/>
        <v/>
      </c>
      <c r="E20" s="3">
        <f t="array" ref="E20">IFERROR(_xlfn.XLOOKUP(B20, Lista_Articulos, Lista_Precios), 0)</f>
        <v>0</v>
      </c>
      <c r="F20" s="3">
        <f t="shared" si="3"/>
        <v>0</v>
      </c>
    </row>
    <row r="21">
      <c r="B21" s="3"/>
      <c r="C21" s="3" t="str">
        <f t="shared" si="1"/>
        <v/>
      </c>
      <c r="D21" s="3" t="str">
        <f t="shared" si="2"/>
        <v/>
      </c>
      <c r="E21" s="3">
        <f t="array" ref="E21">IFERROR(_xlfn.XLOOKUP(B21, Lista_Articulos, Lista_Precios), 0)</f>
        <v>0</v>
      </c>
      <c r="F21" s="3">
        <f t="shared" si="3"/>
        <v>0</v>
      </c>
    </row>
    <row r="22">
      <c r="B22" s="3"/>
      <c r="C22" s="3" t="str">
        <f t="shared" si="1"/>
        <v/>
      </c>
      <c r="D22" s="3" t="str">
        <f t="shared" si="2"/>
        <v/>
      </c>
      <c r="E22" s="3">
        <f t="array" ref="E22">IFERROR(_xlfn.XLOOKUP(B22, Lista_Articulos, Lista_Precios), 0)</f>
        <v>0</v>
      </c>
      <c r="F22" s="3">
        <f t="shared" si="3"/>
        <v>0</v>
      </c>
    </row>
    <row r="23">
      <c r="B23" s="3"/>
      <c r="C23" s="3" t="str">
        <f t="shared" si="1"/>
        <v/>
      </c>
      <c r="D23" s="3" t="str">
        <f t="shared" si="2"/>
        <v/>
      </c>
      <c r="E23" s="3">
        <f t="array" ref="E23">IFERROR(_xlfn.XLOOKUP(B23, Lista_Articulos, Lista_Precios), 0)</f>
        <v>0</v>
      </c>
      <c r="F23" s="3">
        <f t="shared" si="3"/>
        <v>0</v>
      </c>
    </row>
    <row r="24">
      <c r="B24" s="3"/>
      <c r="C24" s="3" t="str">
        <f t="shared" si="1"/>
        <v/>
      </c>
      <c r="D24" s="3" t="str">
        <f t="shared" si="2"/>
        <v/>
      </c>
      <c r="E24" s="3">
        <f t="array" ref="E24">IFERROR(_xlfn.XLOOKUP(B24, Lista_Articulos, Lista_Precios), 0)</f>
        <v>0</v>
      </c>
      <c r="F24" s="3">
        <f t="shared" si="3"/>
        <v>0</v>
      </c>
    </row>
    <row r="25">
      <c r="B25" s="3"/>
      <c r="C25" s="3" t="str">
        <f t="shared" si="1"/>
        <v/>
      </c>
      <c r="D25" s="3" t="str">
        <f t="shared" si="2"/>
        <v/>
      </c>
      <c r="E25" s="3">
        <f t="array" ref="E25">IFERROR(_xlfn.XLOOKUP(B25, Lista_Articulos, Lista_Precios), 0)</f>
        <v>0</v>
      </c>
      <c r="F25" s="3">
        <f t="shared" si="3"/>
        <v>0</v>
      </c>
    </row>
    <row r="26">
      <c r="B26" s="3"/>
      <c r="C26" s="3" t="str">
        <f t="shared" si="1"/>
        <v/>
      </c>
      <c r="D26" s="3" t="str">
        <f t="shared" si="2"/>
        <v/>
      </c>
      <c r="E26" s="3">
        <f t="array" ref="E26">IFERROR(_xlfn.XLOOKUP(B26, Lista_Articulos, Lista_Precios), 0)</f>
        <v>0</v>
      </c>
      <c r="F26" s="3">
        <f t="shared" si="3"/>
        <v>0</v>
      </c>
    </row>
    <row r="27">
      <c r="B27" s="3"/>
      <c r="C27" s="3" t="str">
        <f t="shared" si="1"/>
        <v/>
      </c>
      <c r="D27" s="3" t="str">
        <f t="shared" si="2"/>
        <v/>
      </c>
      <c r="E27" s="3">
        <f t="array" ref="E27">IFERROR(_xlfn.XLOOKUP(B27, Lista_Articulos, Lista_Precios), 0)</f>
        <v>0</v>
      </c>
      <c r="F27" s="3">
        <f t="shared" si="3"/>
        <v>0</v>
      </c>
    </row>
    <row r="28">
      <c r="B28" s="3"/>
      <c r="C28" s="3" t="str">
        <f t="shared" si="1"/>
        <v/>
      </c>
      <c r="D28" s="3" t="str">
        <f t="shared" si="2"/>
        <v/>
      </c>
      <c r="E28" s="3">
        <f t="array" ref="E28">IFERROR(_xlfn.XLOOKUP(B28, Lista_Articulos, Lista_Precios), 0)</f>
        <v>0</v>
      </c>
      <c r="F28" s="3">
        <f t="shared" si="3"/>
        <v>0</v>
      </c>
    </row>
    <row r="29">
      <c r="B29" s="3"/>
      <c r="C29" s="3" t="str">
        <f t="shared" si="1"/>
        <v/>
      </c>
      <c r="D29" s="3" t="str">
        <f t="shared" si="2"/>
        <v/>
      </c>
      <c r="E29" s="3">
        <f t="array" ref="E29">IFERROR(_xlfn.XLOOKUP(B29, Lista_Articulos, Lista_Precios), 0)</f>
        <v>0</v>
      </c>
      <c r="F29" s="3">
        <f t="shared" si="3"/>
        <v>0</v>
      </c>
    </row>
    <row r="30">
      <c r="B30" s="3"/>
      <c r="C30" s="3" t="str">
        <f t="shared" si="1"/>
        <v/>
      </c>
      <c r="D30" s="3" t="str">
        <f t="shared" si="2"/>
        <v/>
      </c>
      <c r="E30" s="3">
        <f t="array" ref="E30">IFERROR(_xlfn.XLOOKUP(B30, Lista_Articulos, Lista_Precios), 0)</f>
        <v>0</v>
      </c>
      <c r="F30" s="3">
        <f t="shared" si="3"/>
        <v>0</v>
      </c>
    </row>
    <row r="31" ht="13.5" customHeight="1">
      <c r="B31" s="3"/>
      <c r="C31" s="3" t="str">
        <f t="shared" si="1"/>
        <v/>
      </c>
      <c r="D31" s="3" t="str">
        <f t="shared" si="2"/>
        <v/>
      </c>
      <c r="E31" s="3">
        <f t="array" ref="E31">IFERROR(_xlfn.XLOOKUP(B31, Lista_Articulos, Lista_Precios), 0)</f>
        <v>0</v>
      </c>
      <c r="F31" s="3">
        <f t="shared" si="3"/>
        <v>0</v>
      </c>
      <c r="K31" s="5"/>
      <c r="L31" s="5"/>
      <c r="M31" s="5"/>
      <c r="N31" s="5"/>
      <c r="O31" s="5"/>
      <c r="P31" s="5"/>
      <c r="Q31" s="5"/>
    </row>
    <row r="32" ht="13.5" customHeight="1">
      <c r="B32" s="3"/>
      <c r="C32" s="3" t="str">
        <f t="shared" si="1"/>
        <v/>
      </c>
      <c r="D32" s="3" t="str">
        <f t="shared" si="2"/>
        <v/>
      </c>
      <c r="E32" s="3">
        <f t="array" ref="E32">IFERROR(_xlfn.XLOOKUP(B32, Lista_Articulos, Lista_Precios), 0)</f>
        <v>0</v>
      </c>
      <c r="F32" s="3">
        <f t="shared" si="3"/>
        <v>0</v>
      </c>
      <c r="K32" s="5"/>
      <c r="L32" s="5"/>
      <c r="M32" s="6"/>
      <c r="N32" s="6"/>
      <c r="O32" s="6"/>
      <c r="P32" s="5"/>
      <c r="Q32" s="5"/>
    </row>
    <row r="33" ht="13.5" customHeight="1">
      <c r="B33" s="3"/>
      <c r="C33" s="3" t="str">
        <f t="shared" si="1"/>
        <v/>
      </c>
      <c r="D33" s="3" t="str">
        <f t="shared" si="2"/>
        <v/>
      </c>
      <c r="E33" s="3">
        <f t="array" ref="E33">IFERROR(_xlfn.XLOOKUP(B33, Lista_Articulos, Lista_Precios), 0)</f>
        <v>0</v>
      </c>
      <c r="F33" s="3">
        <f t="shared" si="3"/>
        <v>0</v>
      </c>
      <c r="K33" s="5"/>
      <c r="L33" s="5"/>
      <c r="M33" s="6"/>
      <c r="N33" s="6"/>
      <c r="O33" s="6"/>
      <c r="P33" s="5"/>
      <c r="Q33" s="5"/>
    </row>
    <row r="34" ht="13.5" customHeight="1">
      <c r="B34" s="3"/>
      <c r="C34" s="3" t="str">
        <f t="shared" si="1"/>
        <v/>
      </c>
      <c r="D34" s="3" t="str">
        <f t="shared" si="2"/>
        <v/>
      </c>
      <c r="E34" s="3">
        <f t="array" ref="E34">IFERROR(_xlfn.XLOOKUP(B34, Lista_Articulos, Lista_Precios), 0)</f>
        <v>0</v>
      </c>
      <c r="F34" s="3">
        <f t="shared" si="3"/>
        <v>0</v>
      </c>
      <c r="K34" s="5"/>
      <c r="L34" s="5"/>
      <c r="M34" s="6"/>
      <c r="N34" s="6"/>
      <c r="O34" s="6"/>
      <c r="P34" s="5"/>
      <c r="Q34" s="5"/>
    </row>
    <row r="35" ht="13.5" customHeight="1">
      <c r="B35" s="3"/>
      <c r="C35" s="3" t="str">
        <f t="shared" si="1"/>
        <v/>
      </c>
      <c r="D35" s="3" t="str">
        <f t="shared" si="2"/>
        <v/>
      </c>
      <c r="E35" s="3">
        <f t="array" ref="E35">IFERROR(_xlfn.XLOOKUP(B35, Lista_Articulos, Lista_Precios), 0)</f>
        <v>0</v>
      </c>
      <c r="F35" s="3">
        <f t="shared" si="3"/>
        <v>0</v>
      </c>
      <c r="K35" s="5"/>
      <c r="L35" s="5"/>
      <c r="M35" s="6"/>
      <c r="N35" s="6"/>
      <c r="O35" s="6"/>
      <c r="P35" s="5"/>
      <c r="Q35" s="5"/>
    </row>
    <row r="36" ht="13.5" customHeight="1">
      <c r="B36" s="3"/>
      <c r="C36" s="3" t="str">
        <f t="shared" si="1"/>
        <v/>
      </c>
      <c r="D36" s="3" t="str">
        <f t="shared" si="2"/>
        <v/>
      </c>
      <c r="E36" s="3">
        <f t="array" ref="E36">IFERROR(_xlfn.XLOOKUP(B36, Lista_Articulos, Lista_Precios), 0)</f>
        <v>0</v>
      </c>
      <c r="F36" s="3">
        <f t="shared" si="3"/>
        <v>0</v>
      </c>
      <c r="K36" s="5"/>
      <c r="L36" s="5"/>
      <c r="M36" s="6"/>
      <c r="N36" s="6"/>
      <c r="O36" s="6"/>
      <c r="P36" s="5"/>
      <c r="Q36" s="5"/>
    </row>
    <row r="37" ht="13.5" customHeight="1">
      <c r="D37" s="3" t="str">
        <f t="shared" si="2"/>
        <v/>
      </c>
      <c r="E37" s="1" t="s">
        <v>95</v>
      </c>
      <c r="F37" s="3">
        <f>SUM(F11:F36)</f>
        <v>0</v>
      </c>
      <c r="K37" s="5"/>
      <c r="L37" s="5"/>
      <c r="M37" s="5"/>
      <c r="N37" s="5"/>
      <c r="O37" s="5"/>
      <c r="P37" s="5"/>
      <c r="Q37" s="5"/>
    </row>
    <row r="38">
      <c r="D38" s="3" t="str">
        <f t="shared" si="2"/>
        <v/>
      </c>
    </row>
    <row r="39">
      <c r="D39" s="3" t="str">
        <f t="shared" si="2"/>
        <v/>
      </c>
      <c r="F39" s="1"/>
    </row>
    <row r="40">
      <c r="D40" s="3" t="str">
        <f t="shared" si="2"/>
        <v/>
      </c>
    </row>
  </sheetData>
  <dataValidations>
    <dataValidation type="list" allowBlank="1" showErrorMessage="1" sqref="B12:B36">
      <formula1>Lista_Articulos</formula1>
    </dataValidation>
    <dataValidation type="list" allowBlank="1" showErrorMessage="1" sqref="B4">
      <formula1>"8,10,12,15"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